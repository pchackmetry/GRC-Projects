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shboard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20"/>
    </font>
    <font>
      <i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Dashboard'!$D$5:$D$8</f>
            </numRef>
          </cat>
          <val>
            <numRef>
              <f>'Risk Dashboard'!$E$5:$E$8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RegisterTable" displayName="RiskRegisterTable" ref="A1:N13" headerRowCount="1">
  <autoFilter ref="A1:N13"/>
  <tableColumns count="14">
    <tableColumn id="1" name="Risk ID"/>
    <tableColumn id="2" name="Risk Description"/>
    <tableColumn id="3" name="Asset"/>
    <tableColumn id="4" name="Threat"/>
    <tableColumn id="5" name="Vulnerability"/>
    <tableColumn id="6" name="Likelihood (1-5)"/>
    <tableColumn id="7" name="Impact (1-5)"/>
    <tableColumn id="8" name="Risk Score"/>
    <tableColumn id="9" name="Risk Level"/>
    <tableColumn id="10" name="Risk Treatment"/>
    <tableColumn id="11" name="Control / Mitigation"/>
    <tableColumn id="12" name="Risk Owner"/>
    <tableColumn id="13" name="Target Date"/>
    <tableColumn id="1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" customWidth="1" min="3" max="3"/>
    <col width="18" customWidth="1" min="4" max="4"/>
    <col width="12" customWidth="1" min="5" max="5"/>
  </cols>
  <sheetData>
    <row r="1">
      <c r="A1" s="1" t="inlineStr">
        <is>
          <t>MEDCLOUD SOLUTIONS</t>
        </is>
      </c>
    </row>
    <row r="2">
      <c r="A2" s="2" t="inlineStr">
        <is>
          <t>Information Security Risk Dashboard</t>
        </is>
      </c>
    </row>
    <row r="4">
      <c r="A4" s="3" t="inlineStr">
        <is>
          <t>Metric</t>
        </is>
      </c>
      <c r="B4" s="3" t="inlineStr">
        <is>
          <t>Value</t>
        </is>
      </c>
      <c r="C4" s="3" t="n"/>
      <c r="D4" s="3" t="inlineStr">
        <is>
          <t>Risk Level</t>
        </is>
      </c>
      <c r="E4" s="3" t="inlineStr">
        <is>
          <t>Count</t>
        </is>
      </c>
      <c r="F4" s="3" t="n"/>
    </row>
    <row r="5">
      <c r="A5" s="4" t="inlineStr">
        <is>
          <t>Total Risks</t>
        </is>
      </c>
      <c r="B5">
        <f>COUNTA('Risk Register'!A2:A13)</f>
        <v/>
      </c>
      <c r="D5" t="inlineStr">
        <is>
          <t>Critical</t>
        </is>
      </c>
      <c r="E5">
        <f>COUNTIF('Risk Register'!I2:I13,"Critical")</f>
        <v/>
      </c>
    </row>
    <row r="6">
      <c r="A6" s="4" t="inlineStr">
        <is>
          <t>Critical Risks</t>
        </is>
      </c>
      <c r="B6">
        <f>COUNTIF('Risk Register'!I2:I13,"Critical")</f>
        <v/>
      </c>
      <c r="D6" t="inlineStr">
        <is>
          <t>High</t>
        </is>
      </c>
      <c r="E6">
        <f>COUNTIF('Risk Register'!I2:I13,"High")</f>
        <v/>
      </c>
    </row>
    <row r="7">
      <c r="A7" s="4" t="inlineStr">
        <is>
          <t>High Risks</t>
        </is>
      </c>
      <c r="B7">
        <f>COUNTIF('Risk Register'!I2:I13,"High")</f>
        <v/>
      </c>
      <c r="D7" t="inlineStr">
        <is>
          <t>Medium</t>
        </is>
      </c>
      <c r="E7">
        <f>COUNTIF('Risk Register'!I2:I13,"Medium")</f>
        <v/>
      </c>
    </row>
    <row r="8">
      <c r="A8" s="4" t="inlineStr">
        <is>
          <t>Medium Risks</t>
        </is>
      </c>
      <c r="B8">
        <f>COUNTIF('Risk Register'!I2:I13,"Medium")</f>
        <v/>
      </c>
      <c r="D8" t="inlineStr">
        <is>
          <t>Low</t>
        </is>
      </c>
      <c r="E8">
        <f>COUNTIF('Risk Register'!I2:I13,"Low")</f>
        <v/>
      </c>
    </row>
    <row r="9">
      <c r="A9" s="4" t="inlineStr">
        <is>
          <t>Low Risks</t>
        </is>
      </c>
      <c r="B9">
        <f>COUNTIF('Risk Register'!I2:I13,"Low")</f>
        <v/>
      </c>
    </row>
    <row r="10">
      <c r="A10" s="4" t="inlineStr">
        <is>
          <t>Open Risks</t>
        </is>
      </c>
      <c r="B10">
        <f>COUNTIF('Risk Register'!N2:N13,"Open")</f>
        <v/>
      </c>
    </row>
    <row r="22">
      <c r="A22" t="inlineStr">
        <is>
          <t>Company</t>
        </is>
      </c>
      <c r="B22" t="inlineStr">
        <is>
          <t>MedCloud Solutions</t>
        </is>
      </c>
    </row>
    <row r="23">
      <c r="A23" t="inlineStr">
        <is>
          <t>Industry</t>
        </is>
      </c>
      <c r="B23" t="inlineStr">
        <is>
          <t>Healthcare SaaS</t>
        </is>
      </c>
    </row>
    <row r="24">
      <c r="A24" t="inlineStr">
        <is>
          <t>Employees</t>
        </is>
      </c>
      <c r="B24" t="n">
        <v>80</v>
      </c>
    </row>
    <row r="25">
      <c r="A25" t="inlineStr">
        <is>
          <t>Assessment Type</t>
        </is>
      </c>
      <c r="B25" t="inlineStr">
        <is>
          <t>Mock GRC Risk Assessment</t>
        </is>
      </c>
    </row>
    <row r="26">
      <c r="A26" t="inlineStr">
        <is>
          <t>Assessment Date</t>
        </is>
      </c>
      <c r="B26" s="5" t="n">
        <v>46254</v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4" customWidth="1" min="4" max="4"/>
    <col width="42" customWidth="1" min="5" max="5"/>
    <col width="16" customWidth="1" min="6" max="6"/>
    <col width="14" customWidth="1" min="7" max="7"/>
    <col width="12" customWidth="1" min="8" max="8"/>
    <col width="14" customWidth="1" min="9" max="9"/>
    <col width="16" customWidth="1" min="10" max="10"/>
    <col width="48" customWidth="1" min="11" max="11"/>
    <col width="22" customWidth="1" min="12" max="12"/>
    <col width="14" customWidth="1" min="13" max="13"/>
    <col width="12" customWidth="1" min="14" max="14"/>
  </cols>
  <sheetData>
    <row r="1">
      <c r="A1" s="6" t="inlineStr">
        <is>
          <t>Risk ID</t>
        </is>
      </c>
      <c r="B1" s="6" t="inlineStr">
        <is>
          <t>Risk Description</t>
        </is>
      </c>
      <c r="C1" s="6" t="inlineStr">
        <is>
          <t>Asset</t>
        </is>
      </c>
      <c r="D1" s="6" t="inlineStr">
        <is>
          <t>Threat</t>
        </is>
      </c>
      <c r="E1" s="6" t="inlineStr">
        <is>
          <t>Vulnerability</t>
        </is>
      </c>
      <c r="F1" s="6" t="inlineStr">
        <is>
          <t>Likelihood (1-5)</t>
        </is>
      </c>
      <c r="G1" s="6" t="inlineStr">
        <is>
          <t>Impact (1-5)</t>
        </is>
      </c>
      <c r="H1" s="6" t="inlineStr">
        <is>
          <t>Risk Score</t>
        </is>
      </c>
      <c r="I1" s="6" t="inlineStr">
        <is>
          <t>Risk Level</t>
        </is>
      </c>
      <c r="J1" s="6" t="inlineStr">
        <is>
          <t>Risk Treatment</t>
        </is>
      </c>
      <c r="K1" s="6" t="inlineStr">
        <is>
          <t>Control / Mitigation</t>
        </is>
      </c>
      <c r="L1" s="6" t="inlineStr">
        <is>
          <t>Risk Owner</t>
        </is>
      </c>
      <c r="M1" s="6" t="inlineStr">
        <is>
          <t>Target Date</t>
        </is>
      </c>
      <c r="N1" s="6" t="inlineStr">
        <is>
          <t>Status</t>
        </is>
      </c>
    </row>
    <row r="2">
      <c r="A2" s="7" t="inlineStr">
        <is>
          <t>R-001</t>
        </is>
      </c>
      <c r="B2" s="7" t="inlineStr">
        <is>
          <t>Unauthorized access to patient records</t>
        </is>
      </c>
      <c r="C2" s="7" t="inlineStr">
        <is>
          <t>Patient Database</t>
        </is>
      </c>
      <c r="D2" s="7" t="inlineStr">
        <is>
          <t>Credential theft</t>
        </is>
      </c>
      <c r="E2" s="7" t="inlineStr">
        <is>
          <t>MFA not enforced for all privileged/remote accounts</t>
        </is>
      </c>
      <c r="F2" s="7" t="n">
        <v>4</v>
      </c>
      <c r="G2" s="7" t="n">
        <v>5</v>
      </c>
      <c r="H2" s="7">
        <f>F2*G2</f>
        <v/>
      </c>
      <c r="I2" s="7">
        <f>IF(H2&gt;=16,"Critical",IF(H2&gt;=10,"High",IF(H2&gt;=5,"Medium","Low")))</f>
        <v/>
      </c>
      <c r="J2" s="7" t="inlineStr">
        <is>
          <t>Mitigate</t>
        </is>
      </c>
      <c r="K2" s="7" t="inlineStr">
        <is>
          <t>Enforce MFA and review privileged access monthly</t>
        </is>
      </c>
      <c r="L2" s="7" t="inlineStr">
        <is>
          <t>IT Manager</t>
        </is>
      </c>
      <c r="M2" s="8" t="n">
        <v>46285</v>
      </c>
      <c r="N2" s="7" t="inlineStr">
        <is>
          <t>Open</t>
        </is>
      </c>
    </row>
    <row r="3">
      <c r="A3" s="7" t="inlineStr">
        <is>
          <t>R-002</t>
        </is>
      </c>
      <c r="B3" s="7" t="inlineStr">
        <is>
          <t>Ransomware could disrupt services and cause data loss</t>
        </is>
      </c>
      <c r="C3" s="7" t="inlineStr">
        <is>
          <t>Production Systems</t>
        </is>
      </c>
      <c r="D3" s="7" t="inlineStr">
        <is>
          <t>Ransomware</t>
        </is>
      </c>
      <c r="E3" s="7" t="inlineStr">
        <is>
          <t>Backups are not regularly restore-tested</t>
        </is>
      </c>
      <c r="F3" s="7" t="n">
        <v>3</v>
      </c>
      <c r="G3" s="7" t="n">
        <v>5</v>
      </c>
      <c r="H3" s="7">
        <f>F3*G3</f>
        <v/>
      </c>
      <c r="I3" s="7">
        <f>IF(H3&gt;=16,"Critical",IF(H3&gt;=10,"High",IF(H3&gt;=5,"Medium","Low")))</f>
        <v/>
      </c>
      <c r="J3" s="7" t="inlineStr">
        <is>
          <t>Mitigate</t>
        </is>
      </c>
      <c r="K3" s="7" t="inlineStr">
        <is>
          <t>Implement immutable backups and quarterly restore tests</t>
        </is>
      </c>
      <c r="L3" s="7" t="inlineStr">
        <is>
          <t>IT Manager</t>
        </is>
      </c>
      <c r="M3" s="8" t="n">
        <v>46300</v>
      </c>
      <c r="N3" s="7" t="inlineStr">
        <is>
          <t>Open</t>
        </is>
      </c>
    </row>
    <row r="4">
      <c r="A4" s="7" t="inlineStr">
        <is>
          <t>R-003</t>
        </is>
      </c>
      <c r="B4" s="7" t="inlineStr">
        <is>
          <t>Phishing could compromise employee accounts</t>
        </is>
      </c>
      <c r="C4" s="7" t="inlineStr">
        <is>
          <t>Microsoft 365 Accounts</t>
        </is>
      </c>
      <c r="D4" s="7" t="inlineStr">
        <is>
          <t>Phishing</t>
        </is>
      </c>
      <c r="E4" s="7" t="inlineStr">
        <is>
          <t>Limited security awareness training and simulations</t>
        </is>
      </c>
      <c r="F4" s="7" t="n">
        <v>4</v>
      </c>
      <c r="G4" s="7" t="n">
        <v>4</v>
      </c>
      <c r="H4" s="7">
        <f>F4*G4</f>
        <v/>
      </c>
      <c r="I4" s="7">
        <f>IF(H4&gt;=16,"Critical",IF(H4&gt;=10,"High",IF(H4&gt;=5,"Medium","Low")))</f>
        <v/>
      </c>
      <c r="J4" s="7" t="inlineStr">
        <is>
          <t>Mitigate</t>
        </is>
      </c>
      <c r="K4" s="7" t="inlineStr">
        <is>
          <t>Conduct annual training and quarterly phishing simulations</t>
        </is>
      </c>
      <c r="L4" s="7" t="inlineStr">
        <is>
          <t>Security Manager</t>
        </is>
      </c>
      <c r="M4" s="8" t="n">
        <v>46280</v>
      </c>
      <c r="N4" s="7" t="inlineStr">
        <is>
          <t>Open</t>
        </is>
      </c>
    </row>
    <row r="5">
      <c r="A5" s="7" t="inlineStr">
        <is>
          <t>R-004</t>
        </is>
      </c>
      <c r="B5" s="7" t="inlineStr">
        <is>
          <t>Backup failure could prevent recovery after an incident</t>
        </is>
      </c>
      <c r="C5" s="7" t="inlineStr">
        <is>
          <t>Backup Repository</t>
        </is>
      </c>
      <c r="D5" s="7" t="inlineStr">
        <is>
          <t>Hardware/software failure</t>
        </is>
      </c>
      <c r="E5" s="7" t="inlineStr">
        <is>
          <t>No documented recovery testing evidence</t>
        </is>
      </c>
      <c r="F5" s="7" t="n">
        <v>3</v>
      </c>
      <c r="G5" s="7" t="n">
        <v>5</v>
      </c>
      <c r="H5" s="7">
        <f>F5*G5</f>
        <v/>
      </c>
      <c r="I5" s="7">
        <f>IF(H5&gt;=16,"Critical",IF(H5&gt;=10,"High",IF(H5&gt;=5,"Medium","Low")))</f>
        <v/>
      </c>
      <c r="J5" s="7" t="inlineStr">
        <is>
          <t>Mitigate</t>
        </is>
      </c>
      <c r="K5" s="7" t="inlineStr">
        <is>
          <t>Document backup ownership and perform quarterly recovery tests</t>
        </is>
      </c>
      <c r="L5" s="7" t="inlineStr">
        <is>
          <t>Infrastructure Lead</t>
        </is>
      </c>
      <c r="M5" s="8" t="n">
        <v>46305</v>
      </c>
      <c r="N5" s="7" t="inlineStr">
        <is>
          <t>Open</t>
        </is>
      </c>
    </row>
    <row r="6">
      <c r="A6" s="7" t="inlineStr">
        <is>
          <t>R-005</t>
        </is>
      </c>
      <c r="B6" s="7" t="inlineStr">
        <is>
          <t>Excessive privileges could enable unauthorized data access</t>
        </is>
      </c>
      <c r="C6" s="7" t="inlineStr">
        <is>
          <t>IAM</t>
        </is>
      </c>
      <c r="D6" s="7" t="inlineStr">
        <is>
          <t>Privilege abuse</t>
        </is>
      </c>
      <c r="E6" s="7" t="inlineStr">
        <is>
          <t>Access reviews are not performed consistently</t>
        </is>
      </c>
      <c r="F6" s="7" t="n">
        <v>4</v>
      </c>
      <c r="G6" s="7" t="n">
        <v>4</v>
      </c>
      <c r="H6" s="7">
        <f>F6*G6</f>
        <v/>
      </c>
      <c r="I6" s="7">
        <f>IF(H6&gt;=16,"Critical",IF(H6&gt;=10,"High",IF(H6&gt;=5,"Medium","Low")))</f>
        <v/>
      </c>
      <c r="J6" s="7" t="inlineStr">
        <is>
          <t>Mitigate</t>
        </is>
      </c>
      <c r="K6" s="7" t="inlineStr">
        <is>
          <t>Implement RBAC and quarterly user access reviews</t>
        </is>
      </c>
      <c r="L6" s="7" t="inlineStr">
        <is>
          <t>IAM Administrator</t>
        </is>
      </c>
      <c r="M6" s="8" t="n">
        <v>46295</v>
      </c>
      <c r="N6" s="7" t="inlineStr">
        <is>
          <t>Open</t>
        </is>
      </c>
    </row>
    <row r="7">
      <c r="A7" s="7" t="inlineStr">
        <is>
          <t>R-006</t>
        </is>
      </c>
      <c r="B7" s="7" t="inlineStr">
        <is>
          <t>Cloud misconfiguration could expose sensitive data</t>
        </is>
      </c>
      <c r="C7" s="7" t="inlineStr">
        <is>
          <t>Cloud Storage</t>
        </is>
      </c>
      <c r="D7" s="7" t="inlineStr">
        <is>
          <t>Misconfiguration</t>
        </is>
      </c>
      <c r="E7" s="7" t="inlineStr">
        <is>
          <t>Configuration reviews and monitoring are incomplete</t>
        </is>
      </c>
      <c r="F7" s="7" t="n">
        <v>3</v>
      </c>
      <c r="G7" s="7" t="n">
        <v>5</v>
      </c>
      <c r="H7" s="7">
        <f>F7*G7</f>
        <v/>
      </c>
      <c r="I7" s="7">
        <f>IF(H7&gt;=16,"Critical",IF(H7&gt;=10,"High",IF(H7&gt;=5,"Medium","Low")))</f>
        <v/>
      </c>
      <c r="J7" s="7" t="inlineStr">
        <is>
          <t>Mitigate</t>
        </is>
      </c>
      <c r="K7" s="7" t="inlineStr">
        <is>
          <t>Enable configuration monitoring and periodic security reviews</t>
        </is>
      </c>
      <c r="L7" s="7" t="inlineStr">
        <is>
          <t>Cloud Administrator</t>
        </is>
      </c>
      <c r="M7" s="8" t="n">
        <v>46296</v>
      </c>
      <c r="N7" s="7" t="inlineStr">
        <is>
          <t>Open</t>
        </is>
      </c>
    </row>
    <row r="8">
      <c r="A8" s="7" t="inlineStr">
        <is>
          <t>R-007</t>
        </is>
      </c>
      <c r="B8" s="7" t="inlineStr">
        <is>
          <t>Third-party vendor breach could expose company data</t>
        </is>
      </c>
      <c r="C8" s="7" t="inlineStr">
        <is>
          <t>Vendor Services</t>
        </is>
      </c>
      <c r="D8" s="7" t="inlineStr">
        <is>
          <t>Supply-chain compromise</t>
        </is>
      </c>
      <c r="E8" s="7" t="inlineStr">
        <is>
          <t>Vendor security assessments are informal</t>
        </is>
      </c>
      <c r="F8" s="7" t="n">
        <v>3</v>
      </c>
      <c r="G8" s="7" t="n">
        <v>4</v>
      </c>
      <c r="H8" s="7">
        <f>F8*G8</f>
        <v/>
      </c>
      <c r="I8" s="7">
        <f>IF(H8&gt;=16,"Critical",IF(H8&gt;=10,"High",IF(H8&gt;=5,"Medium","Low")))</f>
        <v/>
      </c>
      <c r="J8" s="7" t="inlineStr">
        <is>
          <t>Mitigate</t>
        </is>
      </c>
      <c r="K8" s="7" t="inlineStr">
        <is>
          <t>Introduce vendor due diligence and annual reassessment</t>
        </is>
      </c>
      <c r="L8" s="7" t="inlineStr">
        <is>
          <t>Compliance Manager</t>
        </is>
      </c>
      <c r="M8" s="8" t="n">
        <v>46310</v>
      </c>
      <c r="N8" s="7" t="inlineStr">
        <is>
          <t>Open</t>
        </is>
      </c>
    </row>
    <row r="9">
      <c r="A9" s="7" t="inlineStr">
        <is>
          <t>R-008</t>
        </is>
      </c>
      <c r="B9" s="7" t="inlineStr">
        <is>
          <t>Insider data leakage could expose confidential information</t>
        </is>
      </c>
      <c r="C9" s="7" t="inlineStr">
        <is>
          <t>Patient Records</t>
        </is>
      </c>
      <c r="D9" s="7" t="inlineStr">
        <is>
          <t>Insider threat</t>
        </is>
      </c>
      <c r="E9" s="7" t="inlineStr">
        <is>
          <t>Data access monitoring is limited</t>
        </is>
      </c>
      <c r="F9" s="7" t="n">
        <v>2</v>
      </c>
      <c r="G9" s="7" t="n">
        <v>5</v>
      </c>
      <c r="H9" s="7">
        <f>F9*G9</f>
        <v/>
      </c>
      <c r="I9" s="7">
        <f>IF(H9&gt;=16,"Critical",IF(H9&gt;=10,"High",IF(H9&gt;=5,"Medium","Low")))</f>
        <v/>
      </c>
      <c r="J9" s="7" t="inlineStr">
        <is>
          <t>Mitigate</t>
        </is>
      </c>
      <c r="K9" s="7" t="inlineStr">
        <is>
          <t>Apply least privilege and monitor sensitive-data access</t>
        </is>
      </c>
      <c r="L9" s="7" t="inlineStr">
        <is>
          <t>Security Manager</t>
        </is>
      </c>
      <c r="M9" s="8" t="n">
        <v>46315</v>
      </c>
      <c r="N9" s="7" t="inlineStr">
        <is>
          <t>Open</t>
        </is>
      </c>
    </row>
    <row r="10">
      <c r="A10" s="7" t="inlineStr">
        <is>
          <t>R-009</t>
        </is>
      </c>
      <c r="B10" s="7" t="inlineStr">
        <is>
          <t>Unpatched systems could be exploited</t>
        </is>
      </c>
      <c r="C10" s="7" t="inlineStr">
        <is>
          <t>Endpoints/Servers</t>
        </is>
      </c>
      <c r="D10" s="7" t="inlineStr">
        <is>
          <t>Exploitation</t>
        </is>
      </c>
      <c r="E10" s="7" t="inlineStr">
        <is>
          <t>Patch management SLA is not consistently enforced</t>
        </is>
      </c>
      <c r="F10" s="7" t="n">
        <v>4</v>
      </c>
      <c r="G10" s="7" t="n">
        <v>4</v>
      </c>
      <c r="H10" s="7">
        <f>F10*G10</f>
        <v/>
      </c>
      <c r="I10" s="7">
        <f>IF(H10&gt;=16,"Critical",IF(H10&gt;=10,"High",IF(H10&gt;=5,"Medium","Low")))</f>
        <v/>
      </c>
      <c r="J10" s="7" t="inlineStr">
        <is>
          <t>Mitigate</t>
        </is>
      </c>
      <c r="K10" s="7" t="inlineStr">
        <is>
          <t>Define patch SLAs and track exceptions</t>
        </is>
      </c>
      <c r="L10" s="7" t="inlineStr">
        <is>
          <t>Infrastructure Lead</t>
        </is>
      </c>
      <c r="M10" s="8" t="n">
        <v>46290</v>
      </c>
      <c r="N10" s="7" t="inlineStr">
        <is>
          <t>Open</t>
        </is>
      </c>
    </row>
    <row r="11">
      <c r="A11" s="7" t="inlineStr">
        <is>
          <t>R-010</t>
        </is>
      </c>
      <c r="B11" s="7" t="inlineStr">
        <is>
          <t>Lost employee laptop could expose company information</t>
        </is>
      </c>
      <c r="C11" s="7" t="inlineStr">
        <is>
          <t>Employee Laptop</t>
        </is>
      </c>
      <c r="D11" s="7" t="inlineStr">
        <is>
          <t>Device loss/theft</t>
        </is>
      </c>
      <c r="E11" s="7" t="inlineStr">
        <is>
          <t>Encryption and remote-wipe coverage may be incomplete</t>
        </is>
      </c>
      <c r="F11" s="7" t="n">
        <v>3</v>
      </c>
      <c r="G11" s="7" t="n">
        <v>3</v>
      </c>
      <c r="H11" s="7">
        <f>F11*G11</f>
        <v/>
      </c>
      <c r="I11" s="7">
        <f>IF(H11&gt;=16,"Critical",IF(H11&gt;=10,"High",IF(H11&gt;=5,"Medium","Low")))</f>
        <v/>
      </c>
      <c r="J11" s="7" t="inlineStr">
        <is>
          <t>Mitigate</t>
        </is>
      </c>
      <c r="K11" s="7" t="inlineStr">
        <is>
          <t>Enforce full-disk encryption and MDM remote wipe</t>
        </is>
      </c>
      <c r="L11" s="7" t="inlineStr">
        <is>
          <t>IT Manager</t>
        </is>
      </c>
      <c r="M11" s="8" t="n">
        <v>46295</v>
      </c>
      <c r="N11" s="7" t="inlineStr">
        <is>
          <t>Open</t>
        </is>
      </c>
    </row>
    <row r="12">
      <c r="A12" s="7" t="inlineStr">
        <is>
          <t>R-011</t>
        </is>
      </c>
      <c r="B12" s="7" t="inlineStr">
        <is>
          <t>Weak incident response could increase business impact</t>
        </is>
      </c>
      <c r="C12" s="7" t="inlineStr">
        <is>
          <t>Incident Response Process</t>
        </is>
      </c>
      <c r="D12" s="7" t="inlineStr">
        <is>
          <t>Security incident</t>
        </is>
      </c>
      <c r="E12" s="7" t="inlineStr">
        <is>
          <t>Playbook has not been tested through a tabletop exercise</t>
        </is>
      </c>
      <c r="F12" s="7" t="n">
        <v>3</v>
      </c>
      <c r="G12" s="7" t="n">
        <v>4</v>
      </c>
      <c r="H12" s="7">
        <f>F12*G12</f>
        <v/>
      </c>
      <c r="I12" s="7">
        <f>IF(H12&gt;=16,"Critical",IF(H12&gt;=10,"High",IF(H12&gt;=5,"Medium","Low")))</f>
        <v/>
      </c>
      <c r="J12" s="7" t="inlineStr">
        <is>
          <t>Mitigate</t>
        </is>
      </c>
      <c r="K12" s="7" t="inlineStr">
        <is>
          <t>Conduct a tabletop exercise and update the playbook</t>
        </is>
      </c>
      <c r="L12" s="7" t="inlineStr">
        <is>
          <t>Security Manager</t>
        </is>
      </c>
      <c r="M12" s="8" t="n">
        <v>46320</v>
      </c>
      <c r="N12" s="7" t="inlineStr">
        <is>
          <t>Open</t>
        </is>
      </c>
    </row>
    <row r="13">
      <c r="A13" s="7" t="inlineStr">
        <is>
          <t>R-012</t>
        </is>
      </c>
      <c r="B13" s="7" t="inlineStr">
        <is>
          <t>Poor employee offboarding could leave accounts active</t>
        </is>
      </c>
      <c r="C13" s="7" t="inlineStr">
        <is>
          <t>User Accounts</t>
        </is>
      </c>
      <c r="D13" s="7" t="inlineStr">
        <is>
          <t>Account misuse</t>
        </is>
      </c>
      <c r="E13" s="7" t="inlineStr">
        <is>
          <t>Joiner/mover/leaver process is not fully documented</t>
        </is>
      </c>
      <c r="F13" s="7" t="n">
        <v>3</v>
      </c>
      <c r="G13" s="7" t="n">
        <v>4</v>
      </c>
      <c r="H13" s="7">
        <f>F13*G13</f>
        <v/>
      </c>
      <c r="I13" s="7">
        <f>IF(H13&gt;=16,"Critical",IF(H13&gt;=10,"High",IF(H13&gt;=5,"Medium","Low")))</f>
        <v/>
      </c>
      <c r="J13" s="7" t="inlineStr">
        <is>
          <t>Mitigate</t>
        </is>
      </c>
      <c r="K13" s="7" t="inlineStr">
        <is>
          <t>Formalize offboarding checklist and disable accounts promptly</t>
        </is>
      </c>
      <c r="L13" s="7" t="inlineStr">
        <is>
          <t>HR Manager</t>
        </is>
      </c>
      <c r="M13" s="8" t="n">
        <v>46285</v>
      </c>
      <c r="N13" s="7" t="inlineStr">
        <is>
          <t>Open</t>
        </is>
      </c>
    </row>
  </sheetData>
  <conditionalFormatting sqref="I2:I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5" customWidth="1" min="3" max="3"/>
  </cols>
  <sheetData>
    <row r="1">
      <c r="A1" s="9" t="inlineStr">
        <is>
          <t>MedCloud Solutions — 5×5 Risk Matrix</t>
        </is>
      </c>
    </row>
    <row r="3">
      <c r="A3" s="10" t="inlineStr">
        <is>
          <t>Likelihood ↓ / Impact →</t>
        </is>
      </c>
      <c r="B3" s="10" t="n">
        <v>1</v>
      </c>
      <c r="C3" s="10" t="n">
        <v>2</v>
      </c>
      <c r="D3" s="10" t="n">
        <v>3</v>
      </c>
      <c r="E3" s="10" t="n">
        <v>4</v>
      </c>
      <c r="F3" s="10" t="n">
        <v>5</v>
      </c>
    </row>
    <row r="4">
      <c r="A4" s="10" t="n">
        <v>5</v>
      </c>
      <c r="B4" s="10" t="n">
        <v>5</v>
      </c>
      <c r="C4" s="10" t="n">
        <v>10</v>
      </c>
      <c r="D4" s="10" t="n">
        <v>15</v>
      </c>
      <c r="E4" s="10" t="n">
        <v>20</v>
      </c>
      <c r="F4" s="10" t="n">
        <v>25</v>
      </c>
    </row>
    <row r="5">
      <c r="A5" s="10" t="n">
        <v>4</v>
      </c>
      <c r="B5" s="10" t="n">
        <v>4</v>
      </c>
      <c r="C5" s="10" t="n">
        <v>8</v>
      </c>
      <c r="D5" s="10" t="n">
        <v>12</v>
      </c>
      <c r="E5" s="10" t="n">
        <v>16</v>
      </c>
      <c r="F5" s="10" t="n">
        <v>20</v>
      </c>
    </row>
    <row r="6">
      <c r="A6" s="10" t="n">
        <v>3</v>
      </c>
      <c r="B6" s="10" t="n">
        <v>3</v>
      </c>
      <c r="C6" s="10" t="n">
        <v>6</v>
      </c>
      <c r="D6" s="10" t="n">
        <v>9</v>
      </c>
      <c r="E6" s="10" t="n">
        <v>12</v>
      </c>
      <c r="F6" s="10" t="n">
        <v>15</v>
      </c>
    </row>
    <row r="7">
      <c r="A7" s="10" t="n">
        <v>2</v>
      </c>
      <c r="B7" s="10" t="n">
        <v>2</v>
      </c>
      <c r="C7" s="10" t="n">
        <v>4</v>
      </c>
      <c r="D7" s="10" t="n">
        <v>6</v>
      </c>
      <c r="E7" s="10" t="n">
        <v>8</v>
      </c>
      <c r="F7" s="10" t="n">
        <v>10</v>
      </c>
    </row>
    <row r="8">
      <c r="A8" s="10" t="n">
        <v>1</v>
      </c>
      <c r="B8" s="10" t="n">
        <v>1</v>
      </c>
      <c r="C8" s="10" t="n">
        <v>2</v>
      </c>
      <c r="D8" s="10" t="n">
        <v>3</v>
      </c>
      <c r="E8" s="10" t="n">
        <v>4</v>
      </c>
      <c r="F8" s="10" t="n">
        <v>5</v>
      </c>
    </row>
    <row r="10">
      <c r="A10" s="3" t="inlineStr">
        <is>
          <t>Score</t>
        </is>
      </c>
      <c r="B10" s="3" t="inlineStr">
        <is>
          <t>Level</t>
        </is>
      </c>
      <c r="C10" s="3" t="inlineStr">
        <is>
          <t>Action</t>
        </is>
      </c>
      <c r="D10" s="3" t="n"/>
      <c r="E10" s="3" t="n"/>
      <c r="F10" s="3" t="n"/>
    </row>
    <row r="11">
      <c r="A11" t="inlineStr">
        <is>
          <t>1–4</t>
        </is>
      </c>
      <c r="B11" t="inlineStr">
        <is>
          <t>Low</t>
        </is>
      </c>
      <c r="C11" t="inlineStr">
        <is>
          <t>Monitor / minor improvement</t>
        </is>
      </c>
    </row>
    <row r="12">
      <c r="A12" t="inlineStr">
        <is>
          <t>5–9</t>
        </is>
      </c>
      <c r="B12" t="inlineStr">
        <is>
          <t>Medium</t>
        </is>
      </c>
      <c r="C12" t="inlineStr">
        <is>
          <t>Planned remediation</t>
        </is>
      </c>
    </row>
    <row r="13">
      <c r="A13" t="inlineStr">
        <is>
          <t>10–15</t>
        </is>
      </c>
      <c r="B13" t="inlineStr">
        <is>
          <t>High</t>
        </is>
      </c>
      <c r="C13" t="inlineStr">
        <is>
          <t>Prioritized remediation</t>
        </is>
      </c>
    </row>
    <row r="14">
      <c r="A14" t="inlineStr">
        <is>
          <t>16–25</t>
        </is>
      </c>
      <c r="B14" t="inlineStr">
        <is>
          <t>Critical</t>
        </is>
      </c>
      <c r="C14" t="inlineStr">
        <is>
          <t>Immediate management attention</t>
        </is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2026-08-20T05:29:22Z</dcterms:created>
  <dcterms:modified xmlns:dcterms="http://purl.org/dc/terms/" xmlns:xsi="http://www.w3.org/2001/XMLSchema-instance" xsi:type="dcterms:W3CDTF">2026-08-20T05:29:22Z</dcterms:modified>
</cp:coreProperties>
</file>